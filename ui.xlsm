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86598615b1afcf0/Desktop/cablecalc/"/>
    </mc:Choice>
  </mc:AlternateContent>
  <xr:revisionPtr revIDLastSave="61" documentId="8_{7F95F306-70E7-440B-8E86-07A534EB6767}" xr6:coauthVersionLast="45" xr6:coauthVersionMax="45" xr10:uidLastSave="{C822DFA1-AB9D-46F2-A9B6-3F8966176768}"/>
  <bookViews>
    <workbookView xWindow="-108" yWindow="-108" windowWidth="23256" windowHeight="12576" xr2:uid="{AF1E2831-E363-46EF-B265-0E75CA19FF18}"/>
  </bookViews>
  <sheets>
    <sheet name="FRONTEND" sheetId="1" r:id="rId1"/>
    <sheet name="Sheet1" sheetId="4" r:id="rId2"/>
    <sheet name="_dvLists" sheetId="2" r:id="rId3"/>
    <sheet name="TABLE14" sheetId="3" r:id="rId4"/>
  </sheets>
  <functionGroups builtInGroupCount="19">
    <functionGroup name="xlwings"/>
  </functionGroups>
  <definedNames>
    <definedName name="CONDUCTORCOLTYPELIST">_dvLists!$E$1:$E$12</definedName>
    <definedName name="ENCLOSED">_dvLists!$D$9:$D$12</definedName>
    <definedName name="ENCLOSURE">Table4[ENCLOSURE]</definedName>
    <definedName name="INSTALLTYPELIST">_dvLists!$D$1:$D$12</definedName>
    <definedName name="SINGLECU">Table9[SINGLECU]</definedName>
    <definedName name="SPLITCU">Table8[SPLITCU]</definedName>
    <definedName name="UNENCLOSED">_dvLists!$D$2:$D$7</definedName>
  </definedNames>
  <calcPr calcId="191029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1" l="1" a="1"/>
  <c r="D13" i="1" a="1"/>
  <c r="D17" i="1" a="1"/>
  <c r="D10" i="1" a="1"/>
  <c r="D15" i="1" a="1"/>
  <c r="D19" i="1" a="1"/>
  <c r="D18" i="1" a="1"/>
  <c r="D11" i="1" a="1"/>
  <c r="D21" i="1" a="1"/>
  <c r="D16" i="1" a="1"/>
  <c r="D12" i="1" a="1"/>
  <c r="D20" i="1" a="1"/>
  <c r="D14" i="1" a="1"/>
  <c r="D8" i="1" a="1"/>
  <c r="G19" i="4" a="1"/>
  <c r="G20" i="4" a="1"/>
  <c r="C11" i="4" a="1"/>
  <c r="C25" i="4" a="1"/>
  <c r="D21" i="4" a="1"/>
  <c r="D14" i="1" l="1"/>
  <c r="D20" i="1"/>
  <c r="D12" i="1"/>
  <c r="D16" i="1"/>
  <c r="D21" i="1"/>
  <c r="D11" i="1"/>
  <c r="D18" i="1"/>
  <c r="D19" i="1"/>
  <c r="D15" i="1"/>
  <c r="D10" i="1"/>
  <c r="D17" i="1"/>
  <c r="D13" i="1"/>
  <c r="D9" i="1"/>
  <c r="D8" i="1"/>
  <c r="C11" i="4"/>
  <c r="C25" i="4"/>
  <c r="D21" i="4"/>
  <c r="G20" i="4"/>
  <c r="G1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<sst xmlns="http://schemas.openxmlformats.org/spreadsheetml/2006/main" count="132" uniqueCount="77">
  <si>
    <t>CABLE TYPE</t>
  </si>
  <si>
    <t>INSULATION</t>
  </si>
  <si>
    <t>CONDUCTOR</t>
  </si>
  <si>
    <t>X90</t>
  </si>
  <si>
    <t>3 &amp; 4 CORE</t>
  </si>
  <si>
    <t>UNENCLOSED</t>
  </si>
  <si>
    <t>ENCLOSED</t>
  </si>
  <si>
    <t>ENCLOSURE</t>
  </si>
  <si>
    <t>SPACED</t>
  </si>
  <si>
    <t>TOUCHING</t>
  </si>
  <si>
    <t>EXPOSED TO SUN</t>
  </si>
  <si>
    <t>PARTIALLY SUROUNDED BY THERMAL INSULATION</t>
  </si>
  <si>
    <t>COMPLETELY SURROUNDED BY THERMAL INSULATION</t>
  </si>
  <si>
    <t>BURIED DIRECT</t>
  </si>
  <si>
    <t>UNDERGROUND WIRING ENCLOSURE</t>
  </si>
  <si>
    <t>WIRING ENCLOSURE IN AIR</t>
  </si>
  <si>
    <t>CU</t>
  </si>
  <si>
    <t>CU - SOLID/STRANDED</t>
  </si>
  <si>
    <t>CU - FLEXIBLE</t>
  </si>
  <si>
    <t>AL</t>
  </si>
  <si>
    <t>INDEX</t>
  </si>
  <si>
    <t>RUN LENGTH</t>
  </si>
  <si>
    <t>LOAD_KW</t>
  </si>
  <si>
    <t>LOAD_A</t>
  </si>
  <si>
    <t>CABLE SIZE</t>
  </si>
  <si>
    <t>TEMPERATURE</t>
  </si>
  <si>
    <t>VOLT_DROP</t>
  </si>
  <si>
    <t>PSSC</t>
  </si>
  <si>
    <t>INSTALLATION TYPE</t>
  </si>
  <si>
    <t>SINGLECU</t>
  </si>
  <si>
    <t>SPLITCU</t>
  </si>
  <si>
    <t>Stranded</t>
  </si>
  <si>
    <t>Flexible</t>
  </si>
  <si>
    <t>Solid/</t>
  </si>
  <si>
    <t>mm^2</t>
  </si>
  <si>
    <t>Al</t>
  </si>
  <si>
    <t>Cu</t>
  </si>
  <si>
    <t>cu</t>
  </si>
  <si>
    <t>• cu</t>
  </si>
  <si>
    <t>Completely surrounded by thermal insulation, in wiring enclosure</t>
  </si>
  <si>
    <t>Completely surrounded by thermal insulation, unenclosed</t>
  </si>
  <si>
    <t>Partially surrounded by thermal insulation, in wiring enclosure</t>
  </si>
  <si>
    <t>Partially surrounded by thermal insulation, unenclosed</t>
  </si>
  <si>
    <t>Wiring enclosure in air</t>
  </si>
  <si>
    <t>Exposed to sun</t>
  </si>
  <si>
    <t>Touching</t>
  </si>
  <si>
    <t>Spaced</t>
  </si>
  <si>
    <t>Conductor size</t>
  </si>
  <si>
    <t>Underground wiring enclosure</t>
  </si>
  <si>
    <t>Buried direct</t>
  </si>
  <si>
    <t>Thermal insulation</t>
  </si>
  <si>
    <t>Enclosed</t>
  </si>
  <si>
    <t>Unenclosed</t>
  </si>
  <si>
    <t>Current-carrying capacity, A</t>
  </si>
  <si>
    <t>PG</t>
  </si>
  <si>
    <t>40 IN AIR 25 IN GROUND</t>
  </si>
  <si>
    <t>REFERENCE AMBIENT TEMPERATURE</t>
  </si>
  <si>
    <t>SEE NOTE 2</t>
  </si>
  <si>
    <t>90C AND 105C</t>
  </si>
  <si>
    <t>MAXIMUM CONDUCTOR TEMPERATURE</t>
  </si>
  <si>
    <t>X90 XHF90 REP90 RCPE90 RHF90 RCSP90</t>
  </si>
  <si>
    <t>INSULATION TYPES</t>
  </si>
  <si>
    <t>SEE NOTE 1</t>
  </si>
  <si>
    <t>THREE-CORE AND FOUR-CORE</t>
  </si>
  <si>
    <t>CABLE TYPES</t>
  </si>
  <si>
    <t>CURRENT-CARRYING CAPACITIES</t>
  </si>
  <si>
    <t>TABLE 14</t>
  </si>
  <si>
    <t>CONDUCTORCOLTYPE</t>
  </si>
  <si>
    <t>BS2001</t>
  </si>
  <si>
    <t>BS2002</t>
  </si>
  <si>
    <t>PHASE</t>
  </si>
  <si>
    <t>VOLTS_LINE</t>
  </si>
  <si>
    <t>EFFICIENCY</t>
  </si>
  <si>
    <t>AMBIENT_TEMP</t>
  </si>
  <si>
    <t>CORES</t>
  </si>
  <si>
    <t>t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</si>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</sst>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Inconsolata"/>
      <family val="3"/>
    </font>
    <font>
      <b/>
      <sz val="11"/>
      <color theme="0"/>
      <name val="Inconsolata"/>
      <family val="3"/>
    </font>
    <font>
      <sz val="12"/>
      <color theme="1"/>
      <name val="Calibri"/>
      <family val="2"/>
      <scheme val="minor"/>
    </font>
    <font>
      <sz val="11"/>
      <color theme="0"/>
      <name val="Inconsolata"/>
      <family val="3"/>
    </font>
    <font>
      <sz val="11"/>
      <name val="Inconsolata"/>
      <family val="3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14999847407452621"/>
        <bgColor indexed="64"/>
      </patternFill>
    </fill>
  </fills>
  <borders count="2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2" xfId="0" applyFont="1" applyBorder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2" borderId="18" xfId="0" applyFont="1" applyFill="1" applyBorder="1"/>
    <xf numFmtId="0" fontId="4" fillId="2" borderId="19" xfId="0" applyFont="1" applyFill="1" applyBorder="1"/>
    <xf numFmtId="0" fontId="3" fillId="3" borderId="18" xfId="0" applyFont="1" applyFill="1" applyBorder="1"/>
    <xf numFmtId="0" fontId="0" fillId="3" borderId="19" xfId="0" applyFont="1" applyFill="1" applyBorder="1"/>
    <xf numFmtId="0" fontId="3" fillId="0" borderId="18" xfId="0" applyFont="1" applyBorder="1"/>
    <xf numFmtId="0" fontId="3" fillId="0" borderId="19" xfId="0" applyFont="1" applyBorder="1"/>
    <xf numFmtId="0" fontId="3" fillId="3" borderId="19" xfId="0" applyFont="1" applyFill="1" applyBorder="1"/>
    <xf numFmtId="0" fontId="3" fillId="0" borderId="1" xfId="0" applyFont="1" applyBorder="1"/>
    <xf numFmtId="0" fontId="1" fillId="2" borderId="18" xfId="0" applyFont="1" applyFill="1" applyBorder="1"/>
    <xf numFmtId="0" fontId="1" fillId="2" borderId="19" xfId="0" applyFont="1" applyFill="1" applyBorder="1"/>
    <xf numFmtId="0" fontId="0" fillId="0" borderId="19" xfId="0" applyFont="1" applyBorder="1"/>
    <xf numFmtId="0" fontId="3" fillId="0" borderId="2" xfId="0" applyFont="1" applyBorder="1"/>
    <xf numFmtId="0" fontId="6" fillId="4" borderId="0" xfId="0" applyFont="1" applyFill="1"/>
    <xf numFmtId="0" fontId="6" fillId="0" borderId="0" xfId="0" applyFont="1" applyFill="1"/>
    <xf numFmtId="0" fontId="6" fillId="4" borderId="0" xfId="0" applyFont="1" applyFill="1" applyAlignment="1">
      <alignment shrinkToFit="1"/>
    </xf>
    <xf numFmtId="0" fontId="4" fillId="0" borderId="0" xfId="0" applyFont="1" applyFill="1" applyAlignment="1">
      <alignment shrinkToFit="1"/>
    </xf>
    <xf numFmtId="0" fontId="7" fillId="0" borderId="0" xfId="0" applyFont="1" applyFill="1"/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9" xfId="0" applyFont="1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16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37"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numFmt numFmtId="0" formatCode="General"/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numFmt numFmtId="0" formatCode="General"/>
      <fill>
        <patternFill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consolata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consolata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  <alignment horizontal="general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Inconsolata"/>
        <family val="3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871FE5-CBAC-47F4-829E-37924B40E46D}" name="Table3" displayName="Table3" ref="F1:I32" totalsRowShown="0" headerRowDxfId="36" dataDxfId="35">
  <autoFilter ref="F1:I32" xr:uid="{0890340D-9F07-4F19-AE21-401E354193A7}"/>
  <tableColumns count="4">
    <tableColumn id="1" xr3:uid="{0AA131D6-A52C-4915-9615-8DE35655B9A4}" name="CABLE SIZE" dataDxfId="1"/>
    <tableColumn id="2" xr3:uid="{23B9E172-E070-48EA-BB37-6103512EF9D4}" name="TEMPERATURE" dataDxfId="0"/>
    <tableColumn id="3" xr3:uid="{063E0EC3-FBBB-49BC-8C9D-0E6CB34882AA}" name="VOLT_DROP" dataDxfId="34"/>
    <tableColumn id="4" xr3:uid="{E0F0E2CA-A58D-47E6-86D4-3D50F9FBB3FB}" name="PSSC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8D4B3C-DE14-4AE4-8A73-EFCF60701E01}" name="Table2" displayName="Table2" ref="A1:E32" totalsRowShown="0" headerRowDxfId="32" dataDxfId="31">
  <autoFilter ref="A1:E32" xr:uid="{60A252C1-C5B4-4474-B1A3-4730F7E7EF2F}"/>
  <tableColumns count="5">
    <tableColumn id="1" xr3:uid="{269F65C3-5062-45D4-BE7D-E5A10238522F}" name="INDEX" dataDxfId="30"/>
    <tableColumn id="2" xr3:uid="{041E0BF9-06F1-4728-9AAA-6F321AD07B6F}" name="RUN LENGTH" dataDxfId="29"/>
    <tableColumn id="3" xr3:uid="{4C0874C2-78F9-4100-A193-ED4EFB411238}" name="LOAD_KW" dataDxfId="28"/>
    <tableColumn id="5" xr3:uid="{E68D2920-F8A8-4AEC-ACB2-D17958C6C177}" name="LOAD_A" dataDxfId="27"/>
    <tableColumn id="4" xr3:uid="{6D5C5836-84C7-4C76-840E-6ED902C024E5}" name="PHASE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140889-90E2-4790-ACCA-60A3E94AB029}" name="Table1" displayName="Table1" ref="J1:N32" totalsRowShown="0" headerRowDxfId="25" dataDxfId="24">
  <autoFilter ref="J1:N32" xr:uid="{0299DCFB-59C5-48CB-8025-33F39A180352}"/>
  <tableColumns count="5">
    <tableColumn id="1" xr3:uid="{3CDA5819-6044-4789-AD55-C440A520BA27}" name="CABLE TYPE" dataDxfId="23"/>
    <tableColumn id="2" xr3:uid="{DA182B9F-297F-49AD-809C-2FD31E11DABF}" name="INSULATION" dataDxfId="22"/>
    <tableColumn id="3" xr3:uid="{0FDAF857-5197-415E-9912-CD19015C44F5}" name="ENCLOSURE" dataDxfId="21"/>
    <tableColumn id="4" xr3:uid="{C787EBCD-ED1F-4E35-8838-FF8FEDA89A51}" name="INSTALLATION TYPE" dataDxfId="20"/>
    <tableColumn id="5" xr3:uid="{E51792F1-CE7F-4E38-840B-D3CA5ACFAB1E}" name="CONDUCTOR" dataDxfId="19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CA18A8-69B2-44CB-B3B5-CA6CCDAEC126}" name="Table10" displayName="Table10" ref="O1:R32" totalsRowShown="0" headerRowDxfId="18" dataDxfId="17">
  <autoFilter ref="O1:R32" xr:uid="{11BFC9E1-3518-49C8-8682-8148C2795CE0}"/>
  <tableColumns count="4">
    <tableColumn id="1" xr3:uid="{112448B9-C721-4281-87CB-A800F1BEEF23}" name="VOLTS_LINE" dataDxfId="16"/>
    <tableColumn id="2" xr3:uid="{3D97F1B1-B372-4CE8-9D6A-C69B035A2831}" name="Column1" dataDxfId="15"/>
    <tableColumn id="3" xr3:uid="{5CEF604A-67B9-4C0A-B6A4-CC7BEEA09F45}" name="EFFICIENCY" dataDxfId="14"/>
    <tableColumn id="4" xr3:uid="{7D986757-9712-4DF1-AFDC-A3B409144C09}" name="AMBIENT_TEMP" dataDxfId="13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228257F-CAA2-4F18-B528-B5EF4C19A9E5}" name="Table4" displayName="Table4" ref="C1:C3" totalsRowShown="0" dataDxfId="12">
  <autoFilter ref="C1:C3" xr:uid="{FC1B0646-AA73-4A03-8E9F-4D01E5CB381D}"/>
  <tableColumns count="1">
    <tableColumn id="1" xr3:uid="{09279424-B93F-4EDA-8DA9-18E1539FC125}" name="ENCLOSURE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FFA1576-19B6-4E37-BE7F-A963C1198687}" name="Table8" displayName="Table8" ref="F1:F4" totalsRowShown="0" dataDxfId="10">
  <autoFilter ref="F1:F4" xr:uid="{E6454BA9-5DF7-4F39-8B08-A737C8BF15CF}"/>
  <tableColumns count="1">
    <tableColumn id="1" xr3:uid="{30B6062C-DDCC-45A2-B10A-58AD7B5FE813}" name="SPLITCU" dataDxf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2E75AC0-6EAC-4A86-A99A-B4E6CD3F37C7}" name="Table9" displayName="Table9" ref="F5:F7" totalsRowShown="0" headerRowDxfId="8" dataDxfId="7">
  <autoFilter ref="F5:F7" xr:uid="{B9D0949C-7E89-46B3-BA60-74F2A62C6EC3}"/>
  <tableColumns count="1">
    <tableColumn id="1" xr3:uid="{5D5D7BDE-D1FB-43A0-B85B-017B6B8FBD23}" name="SINGLECU" data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06A18B3-6922-439F-B211-FCF730A4BA89}" name="Table12" displayName="Table12" ref="A1:A2" totalsRowShown="0" dataDxfId="5">
  <autoFilter ref="A1:A2" xr:uid="{1B843E2B-5EC0-4D99-BFD0-59305D632DDB}"/>
  <tableColumns count="1">
    <tableColumn id="1" xr3:uid="{43AB0A41-2346-4E83-8E17-D29688FCEE22}" name="CORES" dataDxf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CD53EBF-7137-4DC2-8EC1-21C25E488080}" name="Table13" displayName="Table13" ref="B1:B4" totalsRowShown="0" dataDxfId="3">
  <autoFilter ref="B1:B4" xr:uid="{119B4D82-8939-4D18-A79B-404B228D86A4}"/>
  <tableColumns count="1">
    <tableColumn id="1" xr3:uid="{1D6F61D4-8B56-405D-A532-82604155793D}" name="INSULA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2E5E-9B9C-48B5-A12D-B312CB67E2DD}">
  <sheetPr codeName="Sheet1">
    <outlinePr summaryBelow="0" summaryRight="0"/>
  </sheetPr>
  <dimension ref="A1:R21"/>
  <sheetViews>
    <sheetView tabSelected="1" zoomScaleNormal="100" workbookViewId="0">
      <selection activeCell="K2" sqref="K2"/>
    </sheetView>
  </sheetViews>
  <sheetFormatPr defaultRowHeight="16.2" x14ac:dyDescent="0.45"/>
  <cols>
    <col min="1" max="1" width="8.21875" style="30" customWidth="1"/>
    <col min="2" max="2" width="13.21875" style="30" customWidth="1"/>
    <col min="3" max="4" width="10.21875" style="30" customWidth="1"/>
    <col min="5" max="5" width="9.21875" style="30" customWidth="1"/>
    <col min="6" max="6" width="13.21875" style="30" customWidth="1"/>
    <col min="7" max="7" width="14.21875" style="30" customWidth="1"/>
    <col min="8" max="8" width="12.21875" style="30" customWidth="1"/>
    <col min="9" max="9" width="7.21875" style="30" customWidth="1"/>
    <col min="10" max="10" width="13.21875" style="32" customWidth="1"/>
    <col min="11" max="11" width="14.109375" style="32" customWidth="1"/>
    <col min="12" max="12" width="12.21875" style="32" customWidth="1"/>
    <col min="13" max="13" width="34.88671875" style="32" customWidth="1"/>
    <col min="14" max="14" width="20.44140625" style="32" customWidth="1"/>
    <col min="15" max="15" width="12.88671875" style="30" customWidth="1"/>
    <col min="16" max="16" width="8.88671875" style="30" customWidth="1"/>
    <col min="17" max="17" width="12.88671875" style="30" customWidth="1"/>
    <col min="18" max="18" width="15.33203125" style="30" customWidth="1"/>
    <col min="19" max="16384" width="8.88671875" style="30"/>
  </cols>
  <sheetData>
    <row r="1" spans="1:18" ht="17.399999999999999" customHeight="1" x14ac:dyDescent="0.45">
      <c r="A1" s="31" t="s">
        <v>20</v>
      </c>
      <c r="B1" s="31" t="s">
        <v>21</v>
      </c>
      <c r="C1" s="31" t="s">
        <v>22</v>
      </c>
      <c r="D1" s="31" t="s">
        <v>23</v>
      </c>
      <c r="E1" s="31" t="s">
        <v>70</v>
      </c>
      <c r="F1" s="31" t="s">
        <v>24</v>
      </c>
      <c r="G1" s="31" t="s">
        <v>25</v>
      </c>
      <c r="H1" s="31" t="s">
        <v>26</v>
      </c>
      <c r="I1" s="31" t="s">
        <v>27</v>
      </c>
      <c r="J1" s="33" t="s">
        <v>0</v>
      </c>
      <c r="K1" s="33" t="s">
        <v>1</v>
      </c>
      <c r="L1" s="33" t="s">
        <v>7</v>
      </c>
      <c r="M1" s="33" t="s">
        <v>28</v>
      </c>
      <c r="N1" s="33" t="s">
        <v>2</v>
      </c>
      <c r="O1" s="34" t="s">
        <v>71</v>
      </c>
      <c r="P1" s="34" t="s">
        <v>76</v>
      </c>
      <c r="Q1" s="34" t="s">
        <v>72</v>
      </c>
      <c r="R1" s="34" t="s">
        <v>73</v>
      </c>
    </row>
    <row r="2" spans="1:18" x14ac:dyDescent="0.45">
      <c r="A2" s="30" t="s">
        <v>68</v>
      </c>
      <c r="B2" s="30">
        <v>50</v>
      </c>
      <c r="C2" s="30">
        <v>1</v>
      </c>
      <c r="D2" s="30">
        <v>1</v>
      </c>
      <c r="E2" s="30">
        <v>1</v>
      </c>
      <c r="J2" s="32" t="s">
        <v>4</v>
      </c>
      <c r="K2" s="32" t="s">
        <v>3</v>
      </c>
      <c r="L2" s="32" t="s">
        <v>6</v>
      </c>
      <c r="M2" s="32" t="s">
        <v>15</v>
      </c>
    </row>
    <row r="3" spans="1:18" x14ac:dyDescent="0.45">
      <c r="A3" s="30" t="s">
        <v>69</v>
      </c>
      <c r="B3" s="30">
        <v>50</v>
      </c>
      <c r="E3" s="30">
        <v>3</v>
      </c>
      <c r="J3" s="32" t="s">
        <v>4</v>
      </c>
      <c r="K3" s="32" t="s">
        <v>3</v>
      </c>
      <c r="L3" s="32" t="s">
        <v>6</v>
      </c>
    </row>
    <row r="4" spans="1:18" x14ac:dyDescent="0.45">
      <c r="A4" s="30" t="s">
        <v>75</v>
      </c>
    </row>
    <row r="8" spans="1:18" x14ac:dyDescent="0.45">
      <c r="D8" s="30" t="str" cm="1">
        <f t="array" ref="D8">get_caller_address()</f>
        <v>$D$8</v>
      </c>
    </row>
    <row r="9" spans="1:18" x14ac:dyDescent="0.45">
      <c r="D9" s="30" t="str" cm="1">
        <f t="array" ref="D9">get_caller_address()</f>
        <v>$D$9</v>
      </c>
    </row>
    <row r="10" spans="1:18" x14ac:dyDescent="0.45">
      <c r="D10" s="30" t="str" cm="1">
        <f t="array" ref="D10">get_caller_address()</f>
        <v>$D$10</v>
      </c>
    </row>
    <row r="11" spans="1:18" x14ac:dyDescent="0.45">
      <c r="D11" s="30" t="str" cm="1">
        <f t="array" ref="D11">get_caller_address()</f>
        <v>$D$11</v>
      </c>
      <c r="L11" s="32" t="s">
        <v>6</v>
      </c>
    </row>
    <row r="12" spans="1:18" x14ac:dyDescent="0.45">
      <c r="D12" s="30" t="str" cm="1">
        <f t="array" ref="D12">get_caller_address()</f>
        <v>$D$12</v>
      </c>
    </row>
    <row r="13" spans="1:18" x14ac:dyDescent="0.45">
      <c r="D13" s="30" t="str" cm="1">
        <f t="array" ref="D13">get_caller_address()</f>
        <v>$D$13</v>
      </c>
    </row>
    <row r="14" spans="1:18" x14ac:dyDescent="0.45">
      <c r="D14" s="30" t="str" cm="1">
        <f t="array" ref="D14">get_caller_address()</f>
        <v>$D$14</v>
      </c>
    </row>
    <row r="15" spans="1:18" x14ac:dyDescent="0.45">
      <c r="D15" s="30" t="str" cm="1">
        <f t="array" ref="D15">get_caller_address()</f>
        <v>$D$15</v>
      </c>
    </row>
    <row r="16" spans="1:18" x14ac:dyDescent="0.45">
      <c r="D16" s="30" t="str" cm="1">
        <f t="array" ref="D16">get_caller_address()</f>
        <v>$D$16</v>
      </c>
    </row>
    <row r="17" spans="4:4" x14ac:dyDescent="0.45">
      <c r="D17" s="30" t="str" cm="1">
        <f t="array" ref="D17">get_caller_address()</f>
        <v>$D$17</v>
      </c>
    </row>
    <row r="18" spans="4:4" x14ac:dyDescent="0.45">
      <c r="D18" s="30" t="str" cm="1">
        <f t="array" ref="D18">get_caller_address()</f>
        <v>$D$18</v>
      </c>
    </row>
    <row r="19" spans="4:4" x14ac:dyDescent="0.45">
      <c r="D19" s="30" t="str" cm="1">
        <f t="array" ref="D19">get_caller_address()</f>
        <v>$D$19</v>
      </c>
    </row>
    <row r="20" spans="4:4" x14ac:dyDescent="0.45">
      <c r="D20" s="30" t="str" cm="1">
        <f t="array" ref="D20">get_caller_address()</f>
        <v>$D$20</v>
      </c>
    </row>
    <row r="21" spans="4:4" x14ac:dyDescent="0.45">
      <c r="D21" s="30" t="str" cm="1">
        <f t="array" ref="D21">get_caller_address()</f>
        <v>$D$21</v>
      </c>
    </row>
  </sheetData>
  <dataValidations count="4">
    <dataValidation type="list" allowBlank="1" showInputMessage="1" showErrorMessage="1" sqref="L2:L32" xr:uid="{1A6718DB-12C8-481F-B01B-8D8B61774121}">
      <formula1>ENCLOSURE</formula1>
    </dataValidation>
    <dataValidation type="list" allowBlank="1" showInputMessage="1" showErrorMessage="1" sqref="M2:M32" xr:uid="{C8742CA7-D3A5-40D9-9A14-CAF193C18163}">
      <formula1>INDIRECT(L2)</formula1>
    </dataValidation>
    <dataValidation type="list" allowBlank="1" showInputMessage="1" showErrorMessage="1" sqref="N2:N32" xr:uid="{9316F4B7-58C6-414C-8231-F38A5105455D}">
      <formula1>INDIRECT(INDEX(CONDUCTORCOLTYPELIST,MATCH(M2,INSTALLTYPELIST,)))</formula1>
    </dataValidation>
    <dataValidation type="list" allowBlank="1" showInputMessage="1" showErrorMessage="1" sqref="E2:E3" xr:uid="{F7668EE9-7B7F-4F8A-BD8E-FEF5F541CF23}">
      <formula1>"1,3"</formula1>
    </dataValidation>
  </dataValidations>
  <pageMargins left="0.7" right="0.7" top="0.75" bottom="0.75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A35F480-CC43-477D-B776-B6A03405A053}">
          <x14:formula1>
            <xm:f>_dvLists!$A$2</xm:f>
          </x14:formula1>
          <xm:sqref>J2:J32</xm:sqref>
        </x14:dataValidation>
        <x14:dataValidation type="list" allowBlank="1" showInputMessage="1" showErrorMessage="1" xr:uid="{257A235C-45CF-4432-B0C0-C91C36CC2587}">
          <x14:formula1>
            <xm:f>_dvLists!$B$2:$B$4</xm:f>
          </x14:formula1>
          <xm:sqref>K3:K32</xm:sqref>
        </x14:dataValidation>
        <x14:dataValidation type="list" allowBlank="1" showInputMessage="1" showErrorMessage="1" xr:uid="{B6076BDF-BF85-438B-808B-9F7205026655}">
          <x14:formula1>
            <xm:f>_dvLists!$B$2</xm:f>
          </x14:formula1>
          <xm:sqref>K2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77CB4-16E8-4A10-A962-7BFFEF0B1895}">
  <sheetPr codeName="Sheet4"/>
  <dimension ref="C11:G25"/>
  <sheetViews>
    <sheetView topLeftCell="A6" workbookViewId="0">
      <selection activeCell="C35" sqref="C35"/>
    </sheetView>
  </sheetViews>
  <sheetFormatPr defaultRowHeight="14.4" x14ac:dyDescent="0.3"/>
  <sheetData>
    <row r="11" spans="3:3" x14ac:dyDescent="0.3">
      <c r="C11" cm="1">
        <f t="array" ref="C11">double_sum(1,2)</f>
        <v>6</v>
      </c>
    </row>
    <row r="19" spans="3:7" x14ac:dyDescent="0.3">
      <c r="G19" cm="1">
        <f t="array" ref="G19">double_sum(2,3)</f>
        <v>10</v>
      </c>
    </row>
    <row r="20" spans="3:7" x14ac:dyDescent="0.3">
      <c r="G20" cm="1">
        <f t="array" ref="G20">double_sum(2,3)</f>
        <v>10</v>
      </c>
    </row>
    <row r="21" spans="3:7" x14ac:dyDescent="0.3">
      <c r="D21" cm="1">
        <f t="array" ref="D21">double_sum(1,2)</f>
        <v>6</v>
      </c>
    </row>
    <row r="25" spans="3:7" x14ac:dyDescent="0.3">
      <c r="C25" cm="1">
        <f t="array" ref="C25">double_sum(2,3)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1F66-7DDA-4AD9-A8FE-0A1BFB4E939B}">
  <sheetPr codeName="Sheet2"/>
  <dimension ref="A1:F12"/>
  <sheetViews>
    <sheetView workbookViewId="0">
      <selection activeCell="B2" sqref="B2"/>
    </sheetView>
  </sheetViews>
  <sheetFormatPr defaultRowHeight="14.4" x14ac:dyDescent="0.3"/>
  <cols>
    <col min="2" max="2" width="13.44140625" customWidth="1"/>
    <col min="3" max="3" width="13" customWidth="1"/>
    <col min="4" max="4" width="44.88671875" bestFit="1" customWidth="1"/>
    <col min="6" max="6" width="20.21875" bestFit="1" customWidth="1"/>
  </cols>
  <sheetData>
    <row r="1" spans="1:6" x14ac:dyDescent="0.3">
      <c r="A1" t="s">
        <v>74</v>
      </c>
      <c r="B1" t="s">
        <v>1</v>
      </c>
      <c r="C1" t="s">
        <v>7</v>
      </c>
      <c r="D1" s="26" t="s">
        <v>5</v>
      </c>
      <c r="E1" s="27" t="s">
        <v>67</v>
      </c>
      <c r="F1" t="s">
        <v>30</v>
      </c>
    </row>
    <row r="2" spans="1:6" ht="16.2" x14ac:dyDescent="0.45">
      <c r="A2" s="2" t="s">
        <v>4</v>
      </c>
      <c r="B2" s="2" t="s">
        <v>3</v>
      </c>
      <c r="C2" s="2" t="s">
        <v>5</v>
      </c>
      <c r="D2" s="20" t="s">
        <v>8</v>
      </c>
      <c r="E2" s="21" t="s">
        <v>30</v>
      </c>
      <c r="F2" s="2" t="s">
        <v>17</v>
      </c>
    </row>
    <row r="3" spans="1:6" ht="16.2" x14ac:dyDescent="0.45">
      <c r="A3" s="2"/>
      <c r="B3" s="2"/>
      <c r="C3" s="2" t="s">
        <v>6</v>
      </c>
      <c r="D3" s="22" t="s">
        <v>9</v>
      </c>
      <c r="E3" s="28" t="s">
        <v>30</v>
      </c>
      <c r="F3" s="2" t="s">
        <v>18</v>
      </c>
    </row>
    <row r="4" spans="1:6" ht="16.2" x14ac:dyDescent="0.45">
      <c r="A4" s="2"/>
      <c r="B4" s="2"/>
      <c r="D4" s="20" t="s">
        <v>10</v>
      </c>
      <c r="E4" s="21" t="s">
        <v>30</v>
      </c>
      <c r="F4" s="2" t="s">
        <v>19</v>
      </c>
    </row>
    <row r="5" spans="1:6" ht="16.2" x14ac:dyDescent="0.45">
      <c r="D5" s="22" t="s">
        <v>11</v>
      </c>
      <c r="E5" s="23" t="s">
        <v>29</v>
      </c>
      <c r="F5" s="2" t="s">
        <v>29</v>
      </c>
    </row>
    <row r="6" spans="1:6" ht="16.2" x14ac:dyDescent="0.45">
      <c r="D6" s="20" t="s">
        <v>12</v>
      </c>
      <c r="E6" s="24" t="s">
        <v>29</v>
      </c>
      <c r="F6" s="2" t="s">
        <v>16</v>
      </c>
    </row>
    <row r="7" spans="1:6" ht="16.2" x14ac:dyDescent="0.45">
      <c r="D7" s="25" t="s">
        <v>13</v>
      </c>
      <c r="E7" s="29" t="s">
        <v>29</v>
      </c>
      <c r="F7" s="2" t="s">
        <v>19</v>
      </c>
    </row>
    <row r="8" spans="1:6" ht="16.2" x14ac:dyDescent="0.45">
      <c r="D8" s="18" t="s">
        <v>6</v>
      </c>
      <c r="E8" s="19" t="s">
        <v>67</v>
      </c>
    </row>
    <row r="9" spans="1:6" ht="16.2" x14ac:dyDescent="0.45">
      <c r="D9" s="20" t="s">
        <v>15</v>
      </c>
      <c r="E9" s="21" t="s">
        <v>30</v>
      </c>
    </row>
    <row r="10" spans="1:6" ht="16.2" x14ac:dyDescent="0.45">
      <c r="D10" s="22" t="s">
        <v>11</v>
      </c>
      <c r="E10" s="23" t="s">
        <v>29</v>
      </c>
    </row>
    <row r="11" spans="1:6" ht="16.2" x14ac:dyDescent="0.45">
      <c r="D11" s="20" t="s">
        <v>12</v>
      </c>
      <c r="E11" s="24" t="s">
        <v>29</v>
      </c>
    </row>
    <row r="12" spans="1:6" ht="16.2" x14ac:dyDescent="0.45">
      <c r="D12" s="25" t="s">
        <v>14</v>
      </c>
      <c r="E12" s="1" t="s">
        <v>30</v>
      </c>
    </row>
  </sheetData>
  <pageMargins left="0.7" right="0.7" top="0.75" bottom="0.75" header="0.3" footer="0.3"/>
  <pageSetup paperSize="9" orientation="portrait" horizontalDpi="0" verticalDpi="0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CA683-F00A-41CB-96B3-4A28470842B1}">
  <sheetPr codeName="Sheet3"/>
  <dimension ref="A1:Z33"/>
  <sheetViews>
    <sheetView zoomScale="77" zoomScaleNormal="60" zoomScaleSheetLayoutView="100" workbookViewId="0">
      <selection activeCell="D33" sqref="D33"/>
    </sheetView>
  </sheetViews>
  <sheetFormatPr defaultRowHeight="14.4" x14ac:dyDescent="0.3"/>
  <cols>
    <col min="1" max="16384" width="8.88671875" style="3"/>
  </cols>
  <sheetData>
    <row r="1" spans="1:26" x14ac:dyDescent="0.3">
      <c r="A1" s="37" t="s">
        <v>66</v>
      </c>
      <c r="B1" s="37"/>
      <c r="C1" s="37"/>
      <c r="D1" s="37"/>
    </row>
    <row r="2" spans="1:26" x14ac:dyDescent="0.3">
      <c r="A2" s="37" t="s">
        <v>65</v>
      </c>
      <c r="B2" s="37"/>
      <c r="C2" s="37"/>
      <c r="D2" s="37"/>
    </row>
    <row r="3" spans="1:26" x14ac:dyDescent="0.3">
      <c r="A3" s="37" t="s">
        <v>64</v>
      </c>
      <c r="B3" s="37"/>
      <c r="C3" s="37"/>
      <c r="D3" s="37"/>
      <c r="E3" s="17" t="s">
        <v>63</v>
      </c>
      <c r="I3" s="3" t="s">
        <v>62</v>
      </c>
    </row>
    <row r="4" spans="1:26" x14ac:dyDescent="0.3">
      <c r="A4" s="37" t="s">
        <v>61</v>
      </c>
      <c r="B4" s="37"/>
      <c r="C4" s="37"/>
      <c r="D4" s="37"/>
      <c r="E4" s="17" t="s">
        <v>60</v>
      </c>
    </row>
    <row r="5" spans="1:26" x14ac:dyDescent="0.3">
      <c r="A5" s="37" t="s">
        <v>59</v>
      </c>
      <c r="B5" s="37"/>
      <c r="C5" s="37"/>
      <c r="D5" s="37"/>
      <c r="E5" s="17" t="s">
        <v>58</v>
      </c>
      <c r="I5" s="3" t="s">
        <v>57</v>
      </c>
    </row>
    <row r="6" spans="1:26" x14ac:dyDescent="0.3">
      <c r="A6" s="37" t="s">
        <v>56</v>
      </c>
      <c r="B6" s="37"/>
      <c r="C6" s="37"/>
      <c r="D6" s="37"/>
      <c r="E6" s="17" t="s">
        <v>55</v>
      </c>
    </row>
    <row r="7" spans="1:26" x14ac:dyDescent="0.3">
      <c r="A7" s="42" t="s">
        <v>54</v>
      </c>
      <c r="B7" s="42"/>
      <c r="C7" s="42"/>
      <c r="D7" s="42"/>
      <c r="E7" s="3">
        <v>65</v>
      </c>
    </row>
    <row r="8" spans="1:26" x14ac:dyDescent="0.3">
      <c r="A8" s="16">
        <v>1</v>
      </c>
      <c r="B8" s="16">
        <v>2</v>
      </c>
      <c r="C8" s="16">
        <v>3</v>
      </c>
      <c r="D8" s="16">
        <v>4</v>
      </c>
      <c r="E8" s="16">
        <v>5</v>
      </c>
      <c r="F8" s="16">
        <v>6</v>
      </c>
      <c r="G8" s="16">
        <v>7</v>
      </c>
      <c r="H8" s="16">
        <v>8</v>
      </c>
      <c r="I8" s="16">
        <v>9</v>
      </c>
      <c r="J8" s="16">
        <v>10</v>
      </c>
      <c r="K8" s="16">
        <v>11</v>
      </c>
      <c r="L8" s="16">
        <v>12</v>
      </c>
      <c r="M8" s="16">
        <v>13</v>
      </c>
      <c r="N8" s="16">
        <v>15</v>
      </c>
      <c r="O8" s="16">
        <v>16</v>
      </c>
      <c r="P8" s="16">
        <v>17</v>
      </c>
      <c r="Q8" s="16">
        <v>18</v>
      </c>
      <c r="R8" s="16">
        <v>19</v>
      </c>
      <c r="S8" s="16">
        <v>20</v>
      </c>
      <c r="T8" s="16">
        <v>21</v>
      </c>
      <c r="U8" s="16">
        <v>22</v>
      </c>
      <c r="V8" s="16">
        <v>23</v>
      </c>
      <c r="W8" s="16">
        <v>24</v>
      </c>
      <c r="X8" s="16">
        <v>25</v>
      </c>
      <c r="Y8" s="16">
        <v>26</v>
      </c>
      <c r="Z8" s="16">
        <v>27</v>
      </c>
    </row>
    <row r="9" spans="1:26" x14ac:dyDescent="0.3">
      <c r="A9" s="16"/>
      <c r="B9" s="38" t="s">
        <v>53</v>
      </c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 t="s">
        <v>53</v>
      </c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1:26" x14ac:dyDescent="0.3">
      <c r="A10" s="13"/>
      <c r="B10" s="40" t="s">
        <v>52</v>
      </c>
      <c r="C10" s="43"/>
      <c r="D10" s="43"/>
      <c r="E10" s="43"/>
      <c r="F10" s="43"/>
      <c r="G10" s="43"/>
      <c r="H10" s="43"/>
      <c r="I10" s="43"/>
      <c r="J10" s="41"/>
      <c r="K10" s="43" t="s">
        <v>51</v>
      </c>
      <c r="L10" s="43"/>
      <c r="M10" s="41"/>
      <c r="N10" s="38" t="s">
        <v>50</v>
      </c>
      <c r="O10" s="38"/>
      <c r="P10" s="38"/>
      <c r="Q10" s="38"/>
      <c r="R10" s="38"/>
      <c r="S10" s="38"/>
      <c r="T10" s="38"/>
      <c r="U10" s="38"/>
      <c r="V10" s="38" t="s">
        <v>49</v>
      </c>
      <c r="W10" s="38"/>
      <c r="X10" s="38" t="s">
        <v>48</v>
      </c>
      <c r="Y10" s="38"/>
      <c r="Z10" s="38"/>
    </row>
    <row r="11" spans="1:26" ht="84" customHeight="1" x14ac:dyDescent="0.3">
      <c r="A11" s="15" t="s">
        <v>47</v>
      </c>
      <c r="B11" s="38" t="s">
        <v>46</v>
      </c>
      <c r="C11" s="38"/>
      <c r="D11" s="38"/>
      <c r="E11" s="38" t="s">
        <v>45</v>
      </c>
      <c r="F11" s="38"/>
      <c r="G11" s="38"/>
      <c r="H11" s="38" t="s">
        <v>44</v>
      </c>
      <c r="I11" s="38"/>
      <c r="J11" s="38"/>
      <c r="K11" s="44" t="s">
        <v>43</v>
      </c>
      <c r="L11" s="44"/>
      <c r="M11" s="39"/>
      <c r="N11" s="45" t="s">
        <v>42</v>
      </c>
      <c r="O11" s="45"/>
      <c r="P11" s="45" t="s">
        <v>41</v>
      </c>
      <c r="Q11" s="45"/>
      <c r="R11" s="45" t="s">
        <v>40</v>
      </c>
      <c r="S11" s="45"/>
      <c r="T11" s="45" t="s">
        <v>39</v>
      </c>
      <c r="U11" s="45"/>
      <c r="V11" s="9"/>
      <c r="W11" s="8"/>
      <c r="X11" s="9"/>
      <c r="Z11" s="8"/>
    </row>
    <row r="12" spans="1:26" x14ac:dyDescent="0.3">
      <c r="A12" s="9"/>
      <c r="B12" s="36" t="s">
        <v>36</v>
      </c>
      <c r="C12" s="39"/>
      <c r="D12" s="7" t="s">
        <v>35</v>
      </c>
      <c r="E12" s="36" t="s">
        <v>36</v>
      </c>
      <c r="F12" s="39"/>
      <c r="G12" s="7" t="s">
        <v>35</v>
      </c>
      <c r="H12" s="36" t="s">
        <v>36</v>
      </c>
      <c r="I12" s="39"/>
      <c r="J12" s="7" t="s">
        <v>35</v>
      </c>
      <c r="K12" s="40" t="s">
        <v>36</v>
      </c>
      <c r="L12" s="41"/>
      <c r="M12" s="7" t="s">
        <v>35</v>
      </c>
      <c r="N12" s="11" t="s">
        <v>37</v>
      </c>
      <c r="O12" s="11" t="s">
        <v>35</v>
      </c>
      <c r="P12" s="11" t="s">
        <v>37</v>
      </c>
      <c r="Q12" s="11" t="s">
        <v>35</v>
      </c>
      <c r="R12" s="11" t="s">
        <v>37</v>
      </c>
      <c r="S12" s="11" t="s">
        <v>35</v>
      </c>
      <c r="T12" s="11" t="s">
        <v>38</v>
      </c>
      <c r="U12" s="13" t="s">
        <v>35</v>
      </c>
      <c r="V12" s="13" t="s">
        <v>37</v>
      </c>
      <c r="W12" s="14" t="s">
        <v>35</v>
      </c>
      <c r="X12" s="46" t="s">
        <v>36</v>
      </c>
      <c r="Y12" s="46"/>
      <c r="Z12" s="11" t="s">
        <v>35</v>
      </c>
    </row>
    <row r="13" spans="1:26" x14ac:dyDescent="0.3">
      <c r="A13" s="35" t="s">
        <v>34</v>
      </c>
      <c r="B13" s="13" t="s">
        <v>33</v>
      </c>
      <c r="C13" s="12" t="s">
        <v>32</v>
      </c>
      <c r="D13" s="11"/>
      <c r="E13" s="13" t="s">
        <v>33</v>
      </c>
      <c r="F13" s="12" t="s">
        <v>32</v>
      </c>
      <c r="G13" s="11"/>
      <c r="H13" s="13" t="s">
        <v>33</v>
      </c>
      <c r="I13" s="12" t="s">
        <v>32</v>
      </c>
      <c r="J13" s="11"/>
      <c r="K13" s="13" t="s">
        <v>33</v>
      </c>
      <c r="L13" s="12" t="s">
        <v>32</v>
      </c>
      <c r="M13" s="11"/>
      <c r="N13" s="13"/>
      <c r="O13" s="14"/>
      <c r="P13" s="13"/>
      <c r="Q13" s="14"/>
      <c r="R13" s="13"/>
      <c r="S13" s="14"/>
      <c r="T13" s="13"/>
      <c r="U13" s="14"/>
      <c r="V13" s="13"/>
      <c r="W13" s="14"/>
      <c r="X13" s="13" t="s">
        <v>33</v>
      </c>
      <c r="Y13" s="12" t="s">
        <v>32</v>
      </c>
      <c r="Z13" s="11"/>
    </row>
    <row r="14" spans="1:26" x14ac:dyDescent="0.3">
      <c r="A14" s="36"/>
      <c r="B14" s="6" t="s">
        <v>31</v>
      </c>
      <c r="C14" s="5"/>
      <c r="D14" s="4"/>
      <c r="E14" s="6" t="s">
        <v>31</v>
      </c>
      <c r="F14" s="5"/>
      <c r="G14" s="4"/>
      <c r="H14" s="6" t="s">
        <v>31</v>
      </c>
      <c r="I14" s="5"/>
      <c r="J14" s="4"/>
      <c r="K14" s="6" t="s">
        <v>31</v>
      </c>
      <c r="L14" s="5"/>
      <c r="M14" s="4"/>
      <c r="N14" s="6"/>
      <c r="O14" s="10"/>
      <c r="P14" s="6"/>
      <c r="Q14" s="10"/>
      <c r="R14" s="6"/>
      <c r="S14" s="10"/>
      <c r="T14" s="6"/>
      <c r="U14" s="10"/>
      <c r="V14" s="6"/>
      <c r="W14" s="10"/>
      <c r="X14" s="6" t="s">
        <v>31</v>
      </c>
      <c r="Y14" s="5"/>
      <c r="Z14" s="4"/>
    </row>
    <row r="15" spans="1:26" x14ac:dyDescent="0.3">
      <c r="A15" s="9">
        <v>1</v>
      </c>
      <c r="B15" s="9">
        <v>16</v>
      </c>
      <c r="C15" s="8">
        <v>16</v>
      </c>
      <c r="D15" s="7"/>
      <c r="E15" s="9">
        <v>14</v>
      </c>
      <c r="F15" s="8">
        <v>15</v>
      </c>
      <c r="G15" s="7"/>
      <c r="H15" s="9">
        <v>13</v>
      </c>
      <c r="I15" s="8">
        <v>13</v>
      </c>
      <c r="J15" s="7"/>
      <c r="K15" s="9">
        <v>13</v>
      </c>
      <c r="L15" s="8">
        <v>14</v>
      </c>
      <c r="M15" s="7"/>
      <c r="N15" s="9">
        <v>12</v>
      </c>
      <c r="O15" s="8"/>
      <c r="P15" s="9">
        <v>10</v>
      </c>
      <c r="Q15" s="8"/>
      <c r="R15" s="9">
        <v>7</v>
      </c>
      <c r="S15" s="8"/>
      <c r="T15" s="9">
        <v>6</v>
      </c>
      <c r="U15" s="8"/>
      <c r="V15" s="9">
        <v>16</v>
      </c>
      <c r="W15" s="8"/>
      <c r="X15" s="9">
        <v>16</v>
      </c>
      <c r="Y15" s="8">
        <v>17</v>
      </c>
      <c r="Z15" s="7"/>
    </row>
    <row r="16" spans="1:26" x14ac:dyDescent="0.3">
      <c r="A16" s="9">
        <v>1.5</v>
      </c>
      <c r="B16" s="9">
        <v>20</v>
      </c>
      <c r="C16" s="8">
        <v>20</v>
      </c>
      <c r="D16" s="7"/>
      <c r="E16" s="9">
        <v>19</v>
      </c>
      <c r="F16" s="8">
        <v>19</v>
      </c>
      <c r="G16" s="7"/>
      <c r="H16" s="9">
        <v>16</v>
      </c>
      <c r="I16" s="8">
        <v>17</v>
      </c>
      <c r="J16" s="7"/>
      <c r="K16" s="9">
        <v>16</v>
      </c>
      <c r="L16" s="8">
        <v>17</v>
      </c>
      <c r="M16" s="7"/>
      <c r="N16" s="9">
        <v>15</v>
      </c>
      <c r="O16" s="8"/>
      <c r="P16" s="9">
        <v>13</v>
      </c>
      <c r="Q16" s="8"/>
      <c r="R16" s="9">
        <v>9</v>
      </c>
      <c r="S16" s="8"/>
      <c r="T16" s="9">
        <v>8</v>
      </c>
      <c r="U16" s="8"/>
      <c r="V16" s="9">
        <v>20</v>
      </c>
      <c r="W16" s="8"/>
      <c r="X16" s="9">
        <v>20</v>
      </c>
      <c r="Y16" s="8">
        <v>21</v>
      </c>
      <c r="Z16" s="7"/>
    </row>
    <row r="17" spans="1:26" x14ac:dyDescent="0.3">
      <c r="A17" s="9">
        <v>2.5</v>
      </c>
      <c r="B17" s="9">
        <v>28</v>
      </c>
      <c r="C17" s="8">
        <v>27</v>
      </c>
      <c r="D17" s="7"/>
      <c r="E17" s="9">
        <v>26</v>
      </c>
      <c r="F17" s="8">
        <v>26</v>
      </c>
      <c r="G17" s="7"/>
      <c r="H17" s="9">
        <v>23</v>
      </c>
      <c r="I17" s="8">
        <v>22</v>
      </c>
      <c r="J17" s="7"/>
      <c r="K17" s="9">
        <v>24</v>
      </c>
      <c r="L17" s="8">
        <v>23</v>
      </c>
      <c r="M17" s="7"/>
      <c r="N17" s="9">
        <v>21</v>
      </c>
      <c r="O17" s="8"/>
      <c r="P17" s="9">
        <v>19</v>
      </c>
      <c r="Q17" s="8"/>
      <c r="R17" s="9">
        <v>13</v>
      </c>
      <c r="S17" s="8"/>
      <c r="T17" s="9">
        <v>12</v>
      </c>
      <c r="U17" s="8"/>
      <c r="V17" s="9">
        <v>29</v>
      </c>
      <c r="W17" s="8"/>
      <c r="X17" s="9">
        <v>29</v>
      </c>
      <c r="Y17" s="8">
        <v>28</v>
      </c>
      <c r="Z17" s="7"/>
    </row>
    <row r="18" spans="1:26" x14ac:dyDescent="0.3">
      <c r="A18" s="9">
        <v>4</v>
      </c>
      <c r="B18" s="9">
        <v>38</v>
      </c>
      <c r="C18" s="8">
        <v>36</v>
      </c>
      <c r="D18" s="7"/>
      <c r="E18" s="9">
        <v>35</v>
      </c>
      <c r="F18" s="8">
        <v>34</v>
      </c>
      <c r="G18" s="7"/>
      <c r="H18" s="9">
        <v>30</v>
      </c>
      <c r="I18" s="8">
        <v>29</v>
      </c>
      <c r="J18" s="7"/>
      <c r="K18" s="9">
        <v>30</v>
      </c>
      <c r="L18" s="8">
        <v>29</v>
      </c>
      <c r="M18" s="7"/>
      <c r="N18" s="9">
        <v>28</v>
      </c>
      <c r="O18" s="8"/>
      <c r="P18" s="9">
        <v>24</v>
      </c>
      <c r="Q18" s="8"/>
      <c r="R18" s="9">
        <v>18</v>
      </c>
      <c r="S18" s="8"/>
      <c r="T18" s="9">
        <v>15</v>
      </c>
      <c r="U18" s="8"/>
      <c r="V18" s="9">
        <v>37</v>
      </c>
      <c r="W18" s="8"/>
      <c r="X18" s="9">
        <v>37</v>
      </c>
      <c r="Y18" s="8">
        <v>36</v>
      </c>
      <c r="Z18" s="7"/>
    </row>
    <row r="19" spans="1:26" x14ac:dyDescent="0.3">
      <c r="A19" s="9">
        <v>6</v>
      </c>
      <c r="B19" s="9">
        <v>48</v>
      </c>
      <c r="C19" s="8">
        <v>46</v>
      </c>
      <c r="D19" s="7"/>
      <c r="E19" s="9">
        <v>45</v>
      </c>
      <c r="F19" s="8">
        <v>43</v>
      </c>
      <c r="G19" s="7"/>
      <c r="H19" s="9">
        <v>39</v>
      </c>
      <c r="I19" s="8">
        <v>37</v>
      </c>
      <c r="J19" s="7"/>
      <c r="K19" s="9">
        <v>38</v>
      </c>
      <c r="L19" s="8">
        <v>37</v>
      </c>
      <c r="M19" s="7"/>
      <c r="N19" s="9">
        <v>36</v>
      </c>
      <c r="O19" s="8"/>
      <c r="P19" s="9">
        <v>30</v>
      </c>
      <c r="Q19" s="8"/>
      <c r="R19" s="9">
        <v>22</v>
      </c>
      <c r="S19" s="8"/>
      <c r="T19" s="9">
        <v>19</v>
      </c>
      <c r="U19" s="8"/>
      <c r="V19" s="9">
        <v>46</v>
      </c>
      <c r="W19" s="8"/>
      <c r="X19" s="9">
        <v>46</v>
      </c>
      <c r="Y19" s="8">
        <v>45</v>
      </c>
      <c r="Z19" s="7"/>
    </row>
    <row r="20" spans="1:26" x14ac:dyDescent="0.3">
      <c r="A20" s="9">
        <v>10</v>
      </c>
      <c r="B20" s="9">
        <v>66</v>
      </c>
      <c r="C20" s="8">
        <v>66</v>
      </c>
      <c r="D20" s="7"/>
      <c r="E20" s="9">
        <v>62</v>
      </c>
      <c r="F20" s="8">
        <v>61</v>
      </c>
      <c r="G20" s="7"/>
      <c r="H20" s="9">
        <v>53</v>
      </c>
      <c r="I20" s="8">
        <v>52</v>
      </c>
      <c r="J20" s="7"/>
      <c r="K20" s="9">
        <v>53</v>
      </c>
      <c r="L20" s="8">
        <v>52</v>
      </c>
      <c r="M20" s="7"/>
      <c r="N20" s="9">
        <v>49</v>
      </c>
      <c r="O20" s="8"/>
      <c r="P20" s="9">
        <v>42</v>
      </c>
      <c r="Q20" s="8"/>
      <c r="R20" s="9">
        <v>31</v>
      </c>
      <c r="S20" s="8"/>
      <c r="T20" s="9">
        <v>26</v>
      </c>
      <c r="U20" s="8"/>
      <c r="V20" s="9">
        <v>63</v>
      </c>
      <c r="W20" s="8"/>
      <c r="X20" s="9">
        <v>63</v>
      </c>
      <c r="Y20" s="8">
        <v>62</v>
      </c>
      <c r="Z20" s="7"/>
    </row>
    <row r="21" spans="1:26" x14ac:dyDescent="0.3">
      <c r="A21" s="9">
        <v>16</v>
      </c>
      <c r="B21" s="9">
        <v>88</v>
      </c>
      <c r="C21" s="8">
        <v>87</v>
      </c>
      <c r="D21" s="7">
        <v>68</v>
      </c>
      <c r="E21" s="9">
        <v>83</v>
      </c>
      <c r="F21" s="8">
        <v>81</v>
      </c>
      <c r="G21" s="7">
        <v>64</v>
      </c>
      <c r="H21" s="9">
        <v>70</v>
      </c>
      <c r="I21" s="8">
        <v>69</v>
      </c>
      <c r="J21" s="7">
        <v>54</v>
      </c>
      <c r="K21" s="9">
        <v>68</v>
      </c>
      <c r="L21" s="8">
        <v>67</v>
      </c>
      <c r="M21" s="7">
        <v>53</v>
      </c>
      <c r="N21" s="9">
        <v>66</v>
      </c>
      <c r="O21" s="8">
        <v>51</v>
      </c>
      <c r="P21" s="9">
        <v>55</v>
      </c>
      <c r="Q21" s="8">
        <v>42</v>
      </c>
      <c r="R21" s="9">
        <v>41</v>
      </c>
      <c r="S21" s="8">
        <v>32</v>
      </c>
      <c r="T21" s="9">
        <v>34</v>
      </c>
      <c r="U21" s="8">
        <v>26</v>
      </c>
      <c r="V21" s="9">
        <v>110</v>
      </c>
      <c r="W21" s="8">
        <v>85</v>
      </c>
      <c r="X21" s="9">
        <v>81</v>
      </c>
      <c r="Y21" s="8">
        <v>0.79</v>
      </c>
      <c r="Z21" s="7">
        <v>63</v>
      </c>
    </row>
    <row r="22" spans="1:26" x14ac:dyDescent="0.3">
      <c r="A22" s="9">
        <v>25</v>
      </c>
      <c r="B22" s="9">
        <v>119</v>
      </c>
      <c r="C22" s="8">
        <v>116</v>
      </c>
      <c r="D22" s="7">
        <v>93</v>
      </c>
      <c r="E22" s="9">
        <v>111</v>
      </c>
      <c r="F22" s="8">
        <v>108</v>
      </c>
      <c r="G22" s="7">
        <v>86</v>
      </c>
      <c r="H22" s="9">
        <v>94</v>
      </c>
      <c r="I22" s="8">
        <v>92</v>
      </c>
      <c r="J22" s="7">
        <v>73</v>
      </c>
      <c r="K22" s="9">
        <v>91</v>
      </c>
      <c r="L22" s="8">
        <v>89</v>
      </c>
      <c r="M22" s="7">
        <v>71</v>
      </c>
      <c r="N22" s="9">
        <v>89</v>
      </c>
      <c r="O22" s="8">
        <v>69</v>
      </c>
      <c r="P22" s="9">
        <v>73</v>
      </c>
      <c r="Q22" s="8">
        <v>57</v>
      </c>
      <c r="R22" s="9">
        <v>56</v>
      </c>
      <c r="S22" s="8">
        <v>43</v>
      </c>
      <c r="T22" s="9">
        <v>46</v>
      </c>
      <c r="U22" s="8">
        <v>36</v>
      </c>
      <c r="V22" s="9">
        <v>143</v>
      </c>
      <c r="W22" s="8">
        <v>111</v>
      </c>
      <c r="X22" s="9">
        <v>107</v>
      </c>
      <c r="Y22" s="8">
        <v>103</v>
      </c>
      <c r="Z22" s="7">
        <v>83</v>
      </c>
    </row>
    <row r="23" spans="1:26" x14ac:dyDescent="0.3">
      <c r="A23" s="9">
        <v>35</v>
      </c>
      <c r="B23" s="9">
        <v>147</v>
      </c>
      <c r="C23" s="8">
        <v>144</v>
      </c>
      <c r="D23" s="7">
        <v>114</v>
      </c>
      <c r="E23" s="9">
        <v>137</v>
      </c>
      <c r="F23" s="8">
        <v>135</v>
      </c>
      <c r="G23" s="7">
        <v>106</v>
      </c>
      <c r="H23" s="9">
        <v>115</v>
      </c>
      <c r="I23" s="8">
        <v>113</v>
      </c>
      <c r="J23" s="7">
        <v>89</v>
      </c>
      <c r="K23" s="9">
        <v>114</v>
      </c>
      <c r="L23" s="8">
        <v>111</v>
      </c>
      <c r="M23" s="7">
        <v>88</v>
      </c>
      <c r="N23" s="9">
        <v>110</v>
      </c>
      <c r="O23" s="8">
        <v>85</v>
      </c>
      <c r="P23" s="9">
        <v>91</v>
      </c>
      <c r="Q23" s="8">
        <v>71</v>
      </c>
      <c r="R23" s="9">
        <v>69</v>
      </c>
      <c r="S23" s="8">
        <v>53</v>
      </c>
      <c r="T23" s="9">
        <v>57</v>
      </c>
      <c r="U23" s="8">
        <v>44</v>
      </c>
      <c r="V23" s="9">
        <v>172</v>
      </c>
      <c r="W23" s="8">
        <v>133</v>
      </c>
      <c r="X23" s="9">
        <v>130</v>
      </c>
      <c r="Y23" s="8">
        <v>127</v>
      </c>
      <c r="Z23" s="7">
        <v>101</v>
      </c>
    </row>
    <row r="24" spans="1:26" x14ac:dyDescent="0.3">
      <c r="A24" s="9">
        <v>50</v>
      </c>
      <c r="B24" s="9">
        <v>180</v>
      </c>
      <c r="C24" s="8">
        <v>182</v>
      </c>
      <c r="D24" s="7">
        <v>140</v>
      </c>
      <c r="E24" s="9">
        <v>168</v>
      </c>
      <c r="F24" s="8">
        <v>170</v>
      </c>
      <c r="G24" s="7">
        <v>130</v>
      </c>
      <c r="H24" s="9">
        <v>140</v>
      </c>
      <c r="I24" s="8">
        <v>142</v>
      </c>
      <c r="J24" s="7">
        <v>109</v>
      </c>
      <c r="K24" s="9">
        <v>136</v>
      </c>
      <c r="L24" s="8">
        <v>136</v>
      </c>
      <c r="M24" s="7">
        <v>105</v>
      </c>
      <c r="N24" s="9">
        <v>134</v>
      </c>
      <c r="O24" s="8">
        <v>104</v>
      </c>
      <c r="P24" s="9">
        <v>108</v>
      </c>
      <c r="Q24" s="8">
        <v>84</v>
      </c>
      <c r="R24" s="9"/>
      <c r="S24" s="8"/>
      <c r="T24" s="9"/>
      <c r="U24" s="8"/>
      <c r="V24" s="9">
        <v>204</v>
      </c>
      <c r="W24" s="8">
        <v>159</v>
      </c>
      <c r="X24" s="9">
        <v>155</v>
      </c>
      <c r="Y24" s="8">
        <v>155</v>
      </c>
      <c r="Z24" s="7">
        <v>120</v>
      </c>
    </row>
    <row r="25" spans="1:26" x14ac:dyDescent="0.3">
      <c r="A25" s="9">
        <v>70</v>
      </c>
      <c r="B25" s="9">
        <v>229</v>
      </c>
      <c r="C25" s="8">
        <v>230</v>
      </c>
      <c r="D25" s="7">
        <v>178</v>
      </c>
      <c r="E25" s="9">
        <v>213</v>
      </c>
      <c r="F25" s="8">
        <v>214</v>
      </c>
      <c r="G25" s="7">
        <v>165</v>
      </c>
      <c r="H25" s="9">
        <v>177</v>
      </c>
      <c r="I25" s="8">
        <v>177</v>
      </c>
      <c r="J25" s="7">
        <v>137</v>
      </c>
      <c r="K25" s="9">
        <v>173</v>
      </c>
      <c r="L25" s="8">
        <v>173</v>
      </c>
      <c r="M25" s="7">
        <v>134</v>
      </c>
      <c r="N25" s="9">
        <v>170</v>
      </c>
      <c r="O25" s="8">
        <v>132</v>
      </c>
      <c r="P25" s="9">
        <v>138</v>
      </c>
      <c r="Q25" s="8">
        <v>107</v>
      </c>
      <c r="R25" s="9"/>
      <c r="S25" s="8"/>
      <c r="T25" s="9"/>
      <c r="U25" s="8"/>
      <c r="V25" s="9">
        <v>251</v>
      </c>
      <c r="W25" s="8">
        <v>195</v>
      </c>
      <c r="X25" s="9">
        <v>193</v>
      </c>
      <c r="Y25" s="8">
        <v>193</v>
      </c>
      <c r="Z25" s="7">
        <v>150</v>
      </c>
    </row>
    <row r="26" spans="1:26" x14ac:dyDescent="0.3">
      <c r="A26" s="9">
        <v>95</v>
      </c>
      <c r="B26" s="9">
        <v>283</v>
      </c>
      <c r="C26" s="8">
        <v>275</v>
      </c>
      <c r="D26" s="7">
        <v>220</v>
      </c>
      <c r="E26" s="9">
        <v>263</v>
      </c>
      <c r="F26" s="8">
        <v>256</v>
      </c>
      <c r="G26" s="7">
        <v>204</v>
      </c>
      <c r="H26" s="9">
        <v>217</v>
      </c>
      <c r="I26" s="8">
        <v>201</v>
      </c>
      <c r="J26" s="7">
        <v>168</v>
      </c>
      <c r="K26" s="9">
        <v>209</v>
      </c>
      <c r="L26" s="8">
        <v>202</v>
      </c>
      <c r="M26" s="7">
        <v>162</v>
      </c>
      <c r="N26" s="9">
        <v>210</v>
      </c>
      <c r="O26" s="8">
        <v>163</v>
      </c>
      <c r="P26" s="9">
        <v>167</v>
      </c>
      <c r="Q26" s="8">
        <v>129</v>
      </c>
      <c r="R26" s="9"/>
      <c r="S26" s="8"/>
      <c r="T26" s="9"/>
      <c r="U26" s="8"/>
      <c r="V26" s="9">
        <v>302</v>
      </c>
      <c r="W26" s="8">
        <v>234</v>
      </c>
      <c r="X26" s="9">
        <v>233</v>
      </c>
      <c r="Y26" s="8">
        <v>226</v>
      </c>
      <c r="Z26" s="7">
        <v>181</v>
      </c>
    </row>
    <row r="27" spans="1:26" x14ac:dyDescent="0.3">
      <c r="A27" s="9">
        <v>120</v>
      </c>
      <c r="B27" s="9">
        <v>330</v>
      </c>
      <c r="C27" s="8">
        <v>327</v>
      </c>
      <c r="D27" s="7">
        <v>256</v>
      </c>
      <c r="E27" s="9">
        <v>306</v>
      </c>
      <c r="F27" s="8">
        <v>303</v>
      </c>
      <c r="G27" s="7">
        <v>238</v>
      </c>
      <c r="H27" s="9">
        <v>251</v>
      </c>
      <c r="I27" s="8">
        <v>248</v>
      </c>
      <c r="J27" s="7">
        <v>195</v>
      </c>
      <c r="K27" s="9">
        <v>246</v>
      </c>
      <c r="L27" s="8">
        <v>242</v>
      </c>
      <c r="M27" s="7">
        <v>192</v>
      </c>
      <c r="N27" s="9">
        <v>245</v>
      </c>
      <c r="O27" s="8">
        <v>190</v>
      </c>
      <c r="P27" s="9">
        <v>197</v>
      </c>
      <c r="Q27" s="8">
        <v>153</v>
      </c>
      <c r="R27" s="9"/>
      <c r="S27" s="8"/>
      <c r="T27" s="9"/>
      <c r="U27" s="8"/>
      <c r="V27" s="9">
        <v>344</v>
      </c>
      <c r="W27" s="8">
        <v>267</v>
      </c>
      <c r="X27" s="9">
        <v>276</v>
      </c>
      <c r="Y27" s="8">
        <v>266</v>
      </c>
      <c r="Z27" s="7">
        <v>210</v>
      </c>
    </row>
    <row r="28" spans="1:26" x14ac:dyDescent="0.3">
      <c r="A28" s="9">
        <v>150</v>
      </c>
      <c r="B28" s="9">
        <v>377</v>
      </c>
      <c r="C28" s="8">
        <v>375</v>
      </c>
      <c r="D28" s="7">
        <v>293</v>
      </c>
      <c r="E28" s="9">
        <v>350</v>
      </c>
      <c r="F28" s="8">
        <v>348</v>
      </c>
      <c r="G28" s="7">
        <v>272</v>
      </c>
      <c r="H28" s="9">
        <v>285</v>
      </c>
      <c r="I28" s="8">
        <v>283</v>
      </c>
      <c r="J28" s="7">
        <v>222</v>
      </c>
      <c r="K28" s="9">
        <v>277</v>
      </c>
      <c r="L28" s="8">
        <v>274</v>
      </c>
      <c r="M28" s="7">
        <v>216</v>
      </c>
      <c r="N28" s="9">
        <v>280</v>
      </c>
      <c r="O28" s="8">
        <v>218</v>
      </c>
      <c r="P28" s="9">
        <v>222</v>
      </c>
      <c r="Q28" s="8">
        <v>172</v>
      </c>
      <c r="R28" s="9"/>
      <c r="S28" s="8"/>
      <c r="T28" s="9"/>
      <c r="U28" s="8"/>
      <c r="V28" s="9">
        <v>385</v>
      </c>
      <c r="W28" s="8">
        <v>299</v>
      </c>
      <c r="X28" s="9">
        <v>304</v>
      </c>
      <c r="Y28" s="8">
        <v>300</v>
      </c>
      <c r="Z28" s="7">
        <v>236</v>
      </c>
    </row>
    <row r="29" spans="1:26" x14ac:dyDescent="0.3">
      <c r="A29" s="9">
        <v>185</v>
      </c>
      <c r="B29" s="9">
        <v>436</v>
      </c>
      <c r="C29" s="8">
        <v>428</v>
      </c>
      <c r="D29" s="7">
        <v>340</v>
      </c>
      <c r="E29" s="9">
        <v>404</v>
      </c>
      <c r="F29" s="8">
        <v>396</v>
      </c>
      <c r="G29" s="7">
        <v>315</v>
      </c>
      <c r="H29" s="9">
        <v>327</v>
      </c>
      <c r="I29" s="8">
        <v>320</v>
      </c>
      <c r="J29" s="7">
        <v>255</v>
      </c>
      <c r="K29" s="9">
        <v>322</v>
      </c>
      <c r="L29" s="8">
        <v>314</v>
      </c>
      <c r="M29" s="7">
        <v>251</v>
      </c>
      <c r="N29" s="9">
        <v>323</v>
      </c>
      <c r="O29" s="8">
        <v>252</v>
      </c>
      <c r="P29" s="9">
        <v>257</v>
      </c>
      <c r="Q29" s="8">
        <v>201</v>
      </c>
      <c r="R29" s="9"/>
      <c r="S29" s="8"/>
      <c r="T29" s="9"/>
      <c r="U29" s="8"/>
      <c r="V29" s="9">
        <v>435</v>
      </c>
      <c r="W29" s="8">
        <v>340</v>
      </c>
      <c r="X29" s="9">
        <v>348</v>
      </c>
      <c r="Y29" s="8">
        <v>339</v>
      </c>
      <c r="Z29" s="7">
        <v>272</v>
      </c>
    </row>
    <row r="30" spans="1:26" x14ac:dyDescent="0.3">
      <c r="A30" s="9">
        <v>240</v>
      </c>
      <c r="B30" s="9">
        <v>517</v>
      </c>
      <c r="C30" s="8">
        <v>511</v>
      </c>
      <c r="D30" s="7">
        <v>405</v>
      </c>
      <c r="E30" s="9">
        <v>479</v>
      </c>
      <c r="F30" s="8">
        <v>472</v>
      </c>
      <c r="G30" s="7">
        <v>375</v>
      </c>
      <c r="H30" s="9">
        <v>385</v>
      </c>
      <c r="I30" s="8">
        <v>379</v>
      </c>
      <c r="J30" s="7">
        <v>302</v>
      </c>
      <c r="K30" s="9">
        <v>386</v>
      </c>
      <c r="L30" s="8">
        <v>379</v>
      </c>
      <c r="M30" s="7">
        <v>303</v>
      </c>
      <c r="N30" s="9">
        <v>383</v>
      </c>
      <c r="O30" s="8">
        <v>300</v>
      </c>
      <c r="P30" s="9">
        <v>309</v>
      </c>
      <c r="Q30" s="8">
        <v>242</v>
      </c>
      <c r="R30" s="9"/>
      <c r="S30" s="8"/>
      <c r="T30" s="9"/>
      <c r="U30" s="8"/>
      <c r="V30" s="9">
        <v>504</v>
      </c>
      <c r="W30" s="8">
        <v>395</v>
      </c>
      <c r="X30" s="9">
        <v>411</v>
      </c>
      <c r="Y30" s="8">
        <v>402</v>
      </c>
      <c r="Z30" s="7">
        <v>322</v>
      </c>
    </row>
    <row r="31" spans="1:26" x14ac:dyDescent="0.3">
      <c r="A31" s="9">
        <v>300</v>
      </c>
      <c r="B31" s="9">
        <v>594</v>
      </c>
      <c r="C31" s="8">
        <v>584</v>
      </c>
      <c r="D31" s="7">
        <v>467</v>
      </c>
      <c r="E31" s="9">
        <v>549</v>
      </c>
      <c r="F31" s="8">
        <v>539</v>
      </c>
      <c r="G31" s="7">
        <v>432</v>
      </c>
      <c r="H31" s="9">
        <v>439</v>
      </c>
      <c r="I31" s="8">
        <v>430</v>
      </c>
      <c r="J31" s="7">
        <v>345</v>
      </c>
      <c r="K31" s="9"/>
      <c r="L31" s="8"/>
      <c r="M31" s="7"/>
      <c r="N31" s="9"/>
      <c r="O31" s="8"/>
      <c r="P31" s="9"/>
      <c r="Q31" s="8"/>
      <c r="R31" s="9"/>
      <c r="S31" s="8"/>
      <c r="T31" s="9"/>
      <c r="U31" s="8"/>
      <c r="V31" s="9">
        <v>567</v>
      </c>
      <c r="W31" s="8">
        <v>446</v>
      </c>
      <c r="X31" s="9">
        <v>463</v>
      </c>
      <c r="Y31" s="8">
        <v>452</v>
      </c>
      <c r="Z31" s="7">
        <v>365</v>
      </c>
    </row>
    <row r="32" spans="1:26" x14ac:dyDescent="0.3">
      <c r="A32" s="9">
        <v>400</v>
      </c>
      <c r="B32" s="9">
        <v>685</v>
      </c>
      <c r="C32" s="8">
        <v>692</v>
      </c>
      <c r="D32" s="7">
        <v>546</v>
      </c>
      <c r="E32" s="9">
        <v>632</v>
      </c>
      <c r="F32" s="8">
        <v>638</v>
      </c>
      <c r="G32" s="7">
        <v>504</v>
      </c>
      <c r="H32" s="9">
        <v>502</v>
      </c>
      <c r="I32" s="8">
        <v>504</v>
      </c>
      <c r="J32" s="7">
        <v>400</v>
      </c>
      <c r="K32" s="9"/>
      <c r="L32" s="8"/>
      <c r="M32" s="7"/>
      <c r="N32" s="9"/>
      <c r="O32" s="8"/>
      <c r="P32" s="9"/>
      <c r="Q32" s="8"/>
      <c r="R32" s="9"/>
      <c r="S32" s="8"/>
      <c r="T32" s="9"/>
      <c r="U32" s="8"/>
      <c r="V32" s="9">
        <v>640</v>
      </c>
      <c r="W32" s="8">
        <v>510</v>
      </c>
      <c r="X32" s="9">
        <v>524</v>
      </c>
      <c r="Y32" s="8">
        <v>537</v>
      </c>
      <c r="Z32" s="7">
        <v>417</v>
      </c>
    </row>
    <row r="33" spans="1:26" x14ac:dyDescent="0.3">
      <c r="A33" s="6">
        <v>500</v>
      </c>
      <c r="B33" s="6">
        <v>779</v>
      </c>
      <c r="C33" s="5">
        <v>794</v>
      </c>
      <c r="D33" s="4">
        <v>629</v>
      </c>
      <c r="E33" s="6">
        <v>718</v>
      </c>
      <c r="F33" s="5">
        <v>730</v>
      </c>
      <c r="G33" s="4">
        <v>579</v>
      </c>
      <c r="H33" s="6">
        <v>566</v>
      </c>
      <c r="I33" s="5">
        <v>573</v>
      </c>
      <c r="J33" s="4">
        <v>457</v>
      </c>
      <c r="K33" s="6"/>
      <c r="L33" s="5"/>
      <c r="M33" s="4"/>
      <c r="N33" s="6"/>
      <c r="O33" s="5"/>
      <c r="P33" s="6"/>
      <c r="Q33" s="5"/>
      <c r="R33" s="6"/>
      <c r="S33" s="5"/>
      <c r="T33" s="6"/>
      <c r="U33" s="5"/>
      <c r="V33" s="6">
        <v>714</v>
      </c>
      <c r="W33" s="5">
        <v>577</v>
      </c>
      <c r="X33" s="6">
        <v>601</v>
      </c>
      <c r="Y33" s="5">
        <v>602</v>
      </c>
      <c r="Z33" s="4">
        <v>485</v>
      </c>
    </row>
  </sheetData>
  <mergeCells count="28">
    <mergeCell ref="T11:U11"/>
    <mergeCell ref="X12:Y12"/>
    <mergeCell ref="N9:Z9"/>
    <mergeCell ref="X10:Z10"/>
    <mergeCell ref="V10:W10"/>
    <mergeCell ref="N10:U10"/>
    <mergeCell ref="N11:O11"/>
    <mergeCell ref="P11:Q11"/>
    <mergeCell ref="R11:S11"/>
    <mergeCell ref="A1:D1"/>
    <mergeCell ref="A2:D2"/>
    <mergeCell ref="A3:D3"/>
    <mergeCell ref="A4:D4"/>
    <mergeCell ref="A5:D5"/>
    <mergeCell ref="A13:A14"/>
    <mergeCell ref="A6:D6"/>
    <mergeCell ref="B9:M9"/>
    <mergeCell ref="B12:C12"/>
    <mergeCell ref="E12:F12"/>
    <mergeCell ref="H12:I12"/>
    <mergeCell ref="K12:L12"/>
    <mergeCell ref="A7:D7"/>
    <mergeCell ref="K10:M10"/>
    <mergeCell ref="K11:M11"/>
    <mergeCell ref="B10:J10"/>
    <mergeCell ref="B11:D11"/>
    <mergeCell ref="E11:G11"/>
    <mergeCell ref="H11:J11"/>
  </mergeCells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FRONTEND</vt:lpstr>
      <vt:lpstr>Sheet1</vt:lpstr>
      <vt:lpstr>_dvLists</vt:lpstr>
      <vt:lpstr>TABLE14</vt:lpstr>
      <vt:lpstr>CONDUCTORCOLTYPELIST</vt:lpstr>
      <vt:lpstr>ENCLOSED</vt:lpstr>
      <vt:lpstr>ENCLOSURE</vt:lpstr>
      <vt:lpstr>INSTALLTYPELIST</vt:lpstr>
      <vt:lpstr>SINGLECU</vt:lpstr>
      <vt:lpstr>SPLITCU</vt:lpstr>
      <vt:lpstr>UNENCLOSED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Humphries</dc:creator>
  <cp:lastModifiedBy>David Humphries</cp:lastModifiedBy>
  <dcterms:created xsi:type="dcterms:W3CDTF">2020-04-23T10:00:43Z</dcterms:created>
  <dcterms:modified xsi:type="dcterms:W3CDTF">2020-04-26T23:21:10Z</dcterms:modified>
</cp:coreProperties>
</file>